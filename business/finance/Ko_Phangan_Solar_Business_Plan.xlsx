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ff &amp; Org" sheetId="2" state="visible" r:id="rId2"/>
    <sheet xmlns:r="http://schemas.openxmlformats.org/officeDocument/2006/relationships" name="OpEx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Equipment Cost per kWp" sheetId="5" state="visible" r:id="rId5"/>
    <sheet xmlns:r="http://schemas.openxmlformats.org/officeDocument/2006/relationships" name="Revenue Year 1" sheetId="6" state="visible" r:id="rId6"/>
    <sheet xmlns:r="http://schemas.openxmlformats.org/officeDocument/2006/relationships" name="P&amp;L 3 Years" sheetId="7" state="visible" r:id="rId7"/>
    <sheet xmlns:r="http://schemas.openxmlformats.org/officeDocument/2006/relationships" name="PPA Portfolio 5yr" sheetId="8" state="visible" r:id="rId8"/>
    <sheet xmlns:r="http://schemas.openxmlformats.org/officeDocument/2006/relationships" name="Cash Flow 3yr" sheetId="9" state="visible" r:id="rId9"/>
    <sheet xmlns:r="http://schemas.openxmlformats.org/officeDocument/2006/relationships" name="Dual Entity Split" sheetId="10" state="visible" r:id="rId10"/>
    <sheet xmlns:r="http://schemas.openxmlformats.org/officeDocument/2006/relationships" name="KP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A3D5C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A3D5C"/>
        <bgColor rgb="000A3D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3D5C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</cols>
  <sheetData>
    <row r="1">
      <c r="A1" s="1" t="inlineStr">
        <is>
          <t>Ko Phangan Solar — Executive Summary</t>
        </is>
      </c>
    </row>
    <row r="2">
      <c r="A2" t="inlineStr"/>
      <c r="B2" t="inlineStr"/>
      <c r="C2" t="inlineStr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Annual Roof Area</t>
        </is>
      </c>
      <c r="B4" s="4" t="n">
        <v>50000</v>
      </c>
      <c r="C4" s="4" t="inlineStr">
        <is>
          <t>m²</t>
        </is>
      </c>
    </row>
    <row r="5">
      <c r="A5" s="3" t="inlineStr">
        <is>
          <t>kWp/year</t>
        </is>
      </c>
      <c r="B5" s="4" t="n">
        <v>9090</v>
      </c>
      <c r="C5" s="4" t="inlineStr">
        <is>
          <t>50,000 / 5.5 m²/kWp</t>
        </is>
      </c>
    </row>
    <row r="6">
      <c r="A6" s="3" t="inlineStr">
        <is>
          <t>MWp/year</t>
        </is>
      </c>
      <c r="B6" s="4" t="n">
        <v>9.09</v>
      </c>
      <c r="C6" s="4" t="inlineStr"/>
    </row>
    <row r="7">
      <c r="A7" s="3" t="inlineStr">
        <is>
          <t>Systems/year</t>
        </is>
      </c>
      <c r="B7" s="4" t="n">
        <v>182</v>
      </c>
      <c r="C7" s="4" t="inlineStr">
        <is>
          <t>avg 50kWp each</t>
        </is>
      </c>
    </row>
    <row r="8">
      <c r="A8" s="3" t="inlineStr">
        <is>
          <t>PPA (60%)</t>
        </is>
      </c>
      <c r="B8" s="4" t="n">
        <v>5455</v>
      </c>
      <c r="C8" s="4" t="inlineStr">
        <is>
          <t>kWp — 109 systems</t>
        </is>
      </c>
    </row>
    <row r="9">
      <c r="A9" s="3" t="inlineStr">
        <is>
          <t>EPC (40%)</t>
        </is>
      </c>
      <c r="B9" s="4" t="n">
        <v>3636</v>
      </c>
      <c r="C9" s="4" t="inlineStr">
        <is>
          <t>kWp — 73 systems</t>
        </is>
      </c>
    </row>
    <row r="10">
      <c r="A10" s="3" t="inlineStr"/>
      <c r="B10" s="4" t="inlineStr"/>
      <c r="C10" s="4" t="inlineStr"/>
    </row>
    <row r="11">
      <c r="A11" s="3" t="inlineStr">
        <is>
          <t>Cost per kWp</t>
        </is>
      </c>
      <c r="B11" s="4" t="n">
        <v>11800</v>
      </c>
      <c r="C11" s="4" t="inlineStr">
        <is>
          <t>THB (equipment + labor)</t>
        </is>
      </c>
    </row>
    <row r="12">
      <c r="A12" s="3" t="inlineStr">
        <is>
          <t>Sale price EPC</t>
        </is>
      </c>
      <c r="B12" s="4" t="n">
        <v>32500</v>
      </c>
      <c r="C12" s="4" t="inlineStr">
        <is>
          <t>THB/kWp</t>
        </is>
      </c>
    </row>
    <row r="13">
      <c r="A13" s="3" t="inlineStr">
        <is>
          <t>Gross Margin EPC</t>
        </is>
      </c>
      <c r="B13" s="5" t="n">
        <v>0.637</v>
      </c>
      <c r="C13" s="4" t="inlineStr">
        <is>
          <t>64%</t>
        </is>
      </c>
    </row>
    <row r="14">
      <c r="A14" s="3" t="inlineStr">
        <is>
          <t>PPA Rate</t>
        </is>
      </c>
      <c r="B14" s="4" t="n">
        <v>4.5</v>
      </c>
      <c r="C14" s="4" t="inlineStr">
        <is>
          <t>THB/kWh (25% discount from PEA)</t>
        </is>
      </c>
    </row>
    <row r="15">
      <c r="A15" s="3" t="inlineStr">
        <is>
          <t>PEA Rate</t>
        </is>
      </c>
      <c r="B15" s="4" t="n">
        <v>6</v>
      </c>
      <c r="C15" s="4" t="inlineStr">
        <is>
          <t>THB/kWh average</t>
        </is>
      </c>
    </row>
    <row r="16">
      <c r="A16" s="3" t="inlineStr">
        <is>
          <t>Sun Hours</t>
        </is>
      </c>
      <c r="B16" s="4" t="n">
        <v>4.5</v>
      </c>
      <c r="C16" s="4" t="inlineStr">
        <is>
          <t>hours/day average</t>
        </is>
      </c>
    </row>
    <row r="17">
      <c r="A17" s="3" t="inlineStr"/>
      <c r="B17" s="4" t="inlineStr"/>
      <c r="C17" s="4" t="inlineStr"/>
    </row>
    <row r="18">
      <c r="A18" s="3" t="inlineStr">
        <is>
          <t>Year 1 Revenue</t>
        </is>
      </c>
      <c r="B18" s="4" t="n">
        <v>137400000</v>
      </c>
      <c r="C18" s="4" t="inlineStr">
        <is>
          <t>THB</t>
        </is>
      </c>
    </row>
    <row r="19">
      <c r="A19" s="3" t="inlineStr">
        <is>
          <t>Year 1 Net Profit</t>
        </is>
      </c>
      <c r="B19" s="4" t="n">
        <v>3600000</v>
      </c>
      <c r="C19" s="4" t="inlineStr">
        <is>
          <t>THB (incl PPA investment)</t>
        </is>
      </c>
    </row>
    <row r="20">
      <c r="A20" s="3" t="inlineStr">
        <is>
          <t>EPC Standalone Profit</t>
        </is>
      </c>
      <c r="B20" s="4" t="n">
        <v>56300000</v>
      </c>
      <c r="C20" s="4" t="inlineStr">
        <is>
          <t>THB</t>
        </is>
      </c>
    </row>
    <row r="21">
      <c r="A21" s="3" t="inlineStr">
        <is>
          <t>PPA Payback</t>
        </is>
      </c>
      <c r="B21" s="4" t="n">
        <v>1.8</v>
      </c>
      <c r="C21" s="4" t="inlineStr">
        <is>
          <t>years</t>
        </is>
      </c>
    </row>
    <row r="22">
      <c r="A22" s="3" t="inlineStr">
        <is>
          <t>PPA IRR</t>
        </is>
      </c>
      <c r="B22" s="5" t="n">
        <v>0.45</v>
      </c>
      <c r="C22" s="4" t="inlineStr">
        <is>
          <t>45%</t>
        </is>
      </c>
    </row>
    <row r="23">
      <c r="A23" s="3" t="inlineStr"/>
      <c r="B23" s="4" t="inlineStr"/>
      <c r="C23" s="4" t="inlineStr"/>
    </row>
    <row r="24">
      <c r="A24" s="3" t="inlineStr">
        <is>
          <t>CapEx (startup)</t>
        </is>
      </c>
      <c r="B24" s="4" t="n">
        <v>15200000</v>
      </c>
      <c r="C24" s="4" t="inlineStr">
        <is>
          <t>THB (~$422K)</t>
        </is>
      </c>
    </row>
    <row r="25">
      <c r="A25" s="3" t="inlineStr">
        <is>
          <t>Headcount</t>
        </is>
      </c>
      <c r="B25" s="4" t="n">
        <v>23</v>
      </c>
      <c r="C25" s="4" t="inlineStr">
        <is>
          <t>employees</t>
        </is>
      </c>
    </row>
    <row r="26">
      <c r="A26" s="3" t="inlineStr">
        <is>
          <t>Monthly OpEx</t>
        </is>
      </c>
      <c r="B26" s="4" t="n">
        <v>1580000</v>
      </c>
      <c r="C26" s="4" t="inlineStr">
        <is>
          <t>THB</t>
        </is>
      </c>
    </row>
    <row r="27">
      <c r="A27" s="3" t="inlineStr"/>
      <c r="B27" s="4" t="inlineStr"/>
      <c r="C27" s="4" t="inlineStr"/>
    </row>
    <row r="28">
      <c r="A28" s="3" t="inlineStr">
        <is>
          <t>Year 3 Revenue</t>
        </is>
      </c>
      <c r="B28" s="4" t="n">
        <v>405200000</v>
      </c>
      <c r="C28" s="4" t="inlineStr">
        <is>
          <t>THB</t>
        </is>
      </c>
    </row>
    <row r="29">
      <c r="A29" s="3" t="inlineStr">
        <is>
          <t>Year 3 EBITDA</t>
        </is>
      </c>
      <c r="B29" s="4" t="n">
        <v>165600000</v>
      </c>
      <c r="C29" s="4" t="inlineStr">
        <is>
          <t>THB (margin 40.9%)</t>
        </is>
      </c>
    </row>
    <row r="30">
      <c r="A30" s="3" t="inlineStr">
        <is>
          <t>Year 5 MRR (PPA)</t>
        </is>
      </c>
      <c r="B30" s="4" t="n">
        <v>30500000</v>
      </c>
      <c r="C30" s="4" t="inlineStr">
        <is>
          <t>THB/month ($847K)</t>
        </is>
      </c>
    </row>
    <row r="31">
      <c r="A31" s="3" t="inlineStr">
        <is>
          <t>Year 5 Asset Value</t>
        </is>
      </c>
      <c r="B31" s="4" t="n">
        <v>2580000000</v>
      </c>
      <c r="C31" s="4" t="inlineStr">
        <is>
          <t>THB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A82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Role</t>
        </is>
      </c>
      <c r="B1" s="2" t="inlineStr">
        <is>
          <t>Count</t>
        </is>
      </c>
      <c r="C1" s="2" t="inlineStr">
        <is>
          <t>Monthly (THB)</t>
        </is>
      </c>
      <c r="D1" s="2" t="inlineStr">
        <is>
          <t>Annual (THB)</t>
        </is>
      </c>
      <c r="E1" s="2" t="inlineStr">
        <is>
          <t>Department</t>
        </is>
      </c>
    </row>
    <row r="2">
      <c r="A2" s="3" t="inlineStr">
        <is>
          <t>CEO / MD</t>
        </is>
      </c>
      <c r="B2" s="4" t="n">
        <v>1</v>
      </c>
      <c r="C2" s="4" t="n">
        <v>432000</v>
      </c>
      <c r="D2" s="4" t="n">
        <v>5184000</v>
      </c>
      <c r="E2" s="4" t="inlineStr">
        <is>
          <t>Management</t>
        </is>
      </c>
    </row>
    <row r="3">
      <c r="A3" s="3" t="inlineStr">
        <is>
          <t>Sales Manager</t>
        </is>
      </c>
      <c r="B3" s="4" t="n">
        <v>1</v>
      </c>
      <c r="C3" s="4" t="n">
        <v>80000</v>
      </c>
      <c r="D3" s="4" t="n">
        <v>960000</v>
      </c>
      <c r="E3" s="4" t="inlineStr">
        <is>
          <t>Management</t>
        </is>
      </c>
    </row>
    <row r="4">
      <c r="A4" s="3" t="inlineStr">
        <is>
          <t>Project Manager</t>
        </is>
      </c>
      <c r="B4" s="4" t="n">
        <v>1</v>
      </c>
      <c r="C4" s="4" t="n">
        <v>70000</v>
      </c>
      <c r="D4" s="4" t="n">
        <v>840000</v>
      </c>
      <c r="E4" s="4" t="inlineStr">
        <is>
          <t>Management</t>
        </is>
      </c>
    </row>
    <row r="5">
      <c r="A5" s="3" t="inlineStr">
        <is>
          <t>Chief Engineer + PVsyst + Drafting</t>
        </is>
      </c>
      <c r="B5" s="4" t="n">
        <v>1</v>
      </c>
      <c r="C5" s="4" t="n">
        <v>65000</v>
      </c>
      <c r="D5" s="4" t="n">
        <v>780000</v>
      </c>
      <c r="E5" s="4" t="inlineStr">
        <is>
          <t>Management</t>
        </is>
      </c>
    </row>
    <row r="6">
      <c r="A6" s="3" t="inlineStr">
        <is>
          <t>Team Leaders</t>
        </is>
      </c>
      <c r="B6" s="4" t="n">
        <v>3</v>
      </c>
      <c r="C6" s="4" t="n">
        <v>40000</v>
      </c>
      <c r="D6" s="4" t="n">
        <v>1440000</v>
      </c>
      <c r="E6" s="4" t="inlineStr">
        <is>
          <t>Installation</t>
        </is>
      </c>
    </row>
    <row r="7">
      <c r="A7" s="3" t="inlineStr">
        <is>
          <t>Installers</t>
        </is>
      </c>
      <c r="B7" s="4" t="n">
        <v>12</v>
      </c>
      <c r="C7" s="4" t="n">
        <v>22000</v>
      </c>
      <c r="D7" s="4" t="n">
        <v>3168000</v>
      </c>
      <c r="E7" s="4" t="inlineStr">
        <is>
          <t>Installation</t>
        </is>
      </c>
    </row>
    <row r="8">
      <c r="A8" s="3" t="inlineStr">
        <is>
          <t>Licensed Electricians</t>
        </is>
      </c>
      <c r="B8" s="4" t="n">
        <v>2</v>
      </c>
      <c r="C8" s="4" t="n">
        <v>35000</v>
      </c>
      <c r="D8" s="4" t="n">
        <v>840000</v>
      </c>
      <c r="E8" s="4" t="inlineStr">
        <is>
          <t>Installation</t>
        </is>
      </c>
    </row>
    <row r="9">
      <c r="A9" s="3" t="inlineStr">
        <is>
          <t>O&amp;M Technicians</t>
        </is>
      </c>
      <c r="B9" s="4" t="n">
        <v>2</v>
      </c>
      <c r="C9" s="4" t="n">
        <v>28000</v>
      </c>
      <c r="D9" s="4" t="n">
        <v>672000</v>
      </c>
      <c r="E9" s="4" t="inlineStr">
        <is>
          <t>O&amp;M</t>
        </is>
      </c>
    </row>
    <row r="10">
      <c r="A10" s="3" t="inlineStr">
        <is>
          <t>Office Manager + Accounting + CS</t>
        </is>
      </c>
      <c r="B10" s="4" t="n">
        <v>1</v>
      </c>
      <c r="C10" s="4" t="n">
        <v>45000</v>
      </c>
      <c r="D10" s="4" t="n">
        <v>540000</v>
      </c>
      <c r="E10" s="4" t="inlineStr">
        <is>
          <t>Admin</t>
        </is>
      </c>
    </row>
    <row r="11">
      <c r="A11" s="3" t="inlineStr"/>
      <c r="B11" s="4" t="inlineStr"/>
      <c r="C11" s="4" t="inlineStr"/>
      <c r="D11" s="4" t="inlineStr"/>
      <c r="E11" s="4" t="inlineStr"/>
    </row>
    <row r="12">
      <c r="A12" s="6" t="inlineStr">
        <is>
          <t>TOTAL BASE</t>
        </is>
      </c>
      <c r="B12" s="7" t="n">
        <v>23</v>
      </c>
      <c r="C12" s="7" t="inlineStr"/>
      <c r="D12" s="7" t="n">
        <v>14424000</v>
      </c>
      <c r="E12" s="7" t="inlineStr"/>
    </row>
    <row r="13">
      <c r="A13" s="3" t="inlineStr">
        <is>
          <t>Social (5%)</t>
        </is>
      </c>
      <c r="B13" s="4" t="inlineStr"/>
      <c r="C13" s="4" t="inlineStr"/>
      <c r="D13" s="4" t="n">
        <v>721200</v>
      </c>
      <c r="E13" s="4" t="inlineStr"/>
    </row>
    <row r="14">
      <c r="A14" s="6" t="inlineStr">
        <is>
          <t>TOTAL WITH SOCIAL</t>
        </is>
      </c>
      <c r="B14" s="7" t="n">
        <v>23</v>
      </c>
      <c r="C14" s="7" t="n">
        <v>1262000</v>
      </c>
      <c r="D14" s="7" t="n">
        <v>15145200</v>
      </c>
      <c r="E1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5A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Item</t>
        </is>
      </c>
      <c r="B1" s="2" t="inlineStr">
        <is>
          <t>Monthly (THB)</t>
        </is>
      </c>
      <c r="C1" s="2" t="inlineStr">
        <is>
          <t>Annual (THB)</t>
        </is>
      </c>
    </row>
    <row r="2">
      <c r="A2" s="6">
        <f>== SALARY ===</f>
        <v/>
      </c>
      <c r="B2" s="7" t="inlineStr"/>
      <c r="C2" s="7" t="inlineStr"/>
    </row>
    <row r="3">
      <c r="A3" s="3" t="inlineStr">
        <is>
          <t>Management (4)</t>
        </is>
      </c>
      <c r="B3" s="4" t="n">
        <v>647000</v>
      </c>
      <c r="C3" s="4" t="n">
        <v>7764000</v>
      </c>
    </row>
    <row r="4">
      <c r="A4" s="3" t="inlineStr">
        <is>
          <t>Installation (17)</t>
        </is>
      </c>
      <c r="B4" s="4" t="n">
        <v>454000</v>
      </c>
      <c r="C4" s="4" t="n">
        <v>5448000</v>
      </c>
    </row>
    <row r="5">
      <c r="A5" s="3" t="inlineStr">
        <is>
          <t>O&amp;M (2)</t>
        </is>
      </c>
      <c r="B5" s="4" t="n">
        <v>56000</v>
      </c>
      <c r="C5" s="4" t="n">
        <v>672000</v>
      </c>
    </row>
    <row r="6">
      <c r="A6" s="3" t="inlineStr">
        <is>
          <t>Admin (1)</t>
        </is>
      </c>
      <c r="B6" s="4" t="n">
        <v>45000</v>
      </c>
      <c r="C6" s="4" t="n">
        <v>540000</v>
      </c>
    </row>
    <row r="7">
      <c r="A7" s="3" t="inlineStr">
        <is>
          <t>Social (5%)</t>
        </is>
      </c>
      <c r="B7" s="4" t="n">
        <v>60000</v>
      </c>
      <c r="C7" s="4" t="n">
        <v>720000</v>
      </c>
    </row>
    <row r="8">
      <c r="A8" s="6" t="inlineStr">
        <is>
          <t>Subtotal Salary</t>
        </is>
      </c>
      <c r="B8" s="7" t="n">
        <v>1262000</v>
      </c>
      <c r="C8" s="7" t="n">
        <v>15144000</v>
      </c>
    </row>
    <row r="9">
      <c r="A9" s="3" t="inlineStr"/>
      <c r="B9" s="4" t="inlineStr"/>
      <c r="C9" s="4" t="inlineStr"/>
    </row>
    <row r="10">
      <c r="A10" s="6">
        <f>== OPERATING ===</f>
        <v/>
      </c>
      <c r="B10" s="7" t="inlineStr"/>
      <c r="C10" s="7" t="inlineStr"/>
    </row>
    <row r="11">
      <c r="A11" s="3" t="inlineStr">
        <is>
          <t>Office + Warehouse Rent</t>
        </is>
      </c>
      <c r="B11" s="4" t="n">
        <v>50000</v>
      </c>
      <c r="C11" s="4" t="n">
        <v>600000</v>
      </c>
    </row>
    <row r="12">
      <c r="A12" s="3" t="inlineStr">
        <is>
          <t>Vehicles (3 pickups) lease</t>
        </is>
      </c>
      <c r="B12" s="4" t="n">
        <v>45000</v>
      </c>
      <c r="C12" s="4" t="n">
        <v>540000</v>
      </c>
    </row>
    <row r="13">
      <c r="A13" s="3" t="inlineStr">
        <is>
          <t>Fuel + Vehicle Maintenance</t>
        </is>
      </c>
      <c r="B13" s="4" t="n">
        <v>30000</v>
      </c>
      <c r="C13" s="4" t="n">
        <v>360000</v>
      </c>
    </row>
    <row r="14">
      <c r="A14" s="3" t="inlineStr">
        <is>
          <t>Marketing + Advertising</t>
        </is>
      </c>
      <c r="B14" s="4" t="n">
        <v>80000</v>
      </c>
      <c r="C14" s="4" t="n">
        <v>960000</v>
      </c>
    </row>
    <row r="15">
      <c r="A15" s="3" t="inlineStr">
        <is>
          <t>Insurance (company + projects)</t>
        </is>
      </c>
      <c r="B15" s="4" t="n">
        <v>35000</v>
      </c>
      <c r="C15" s="4" t="n">
        <v>420000</v>
      </c>
    </row>
    <row r="16">
      <c r="A16" s="3" t="inlineStr">
        <is>
          <t>Software (PVsyst, CRM, Office)</t>
        </is>
      </c>
      <c r="B16" s="4" t="n">
        <v>8000</v>
      </c>
      <c r="C16" s="4" t="n">
        <v>96000</v>
      </c>
    </row>
    <row r="17">
      <c r="A17" s="3" t="inlineStr">
        <is>
          <t>Telecom + Internet</t>
        </is>
      </c>
      <c r="B17" s="4" t="n">
        <v>5000</v>
      </c>
      <c r="C17" s="4" t="n">
        <v>60000</v>
      </c>
    </row>
    <row r="18">
      <c r="A18" s="3" t="inlineStr">
        <is>
          <t>Legal + Accountant</t>
        </is>
      </c>
      <c r="B18" s="4" t="n">
        <v>25000</v>
      </c>
      <c r="C18" s="4" t="n">
        <v>300000</v>
      </c>
    </row>
    <row r="19">
      <c r="A19" s="3" t="inlineStr">
        <is>
          <t>Tools + Consumables</t>
        </is>
      </c>
      <c r="B19" s="4" t="n">
        <v>20000</v>
      </c>
      <c r="C19" s="4" t="n">
        <v>240000</v>
      </c>
    </row>
    <row r="20">
      <c r="A20" s="3" t="inlineStr">
        <is>
          <t>Training + Licenses</t>
        </is>
      </c>
      <c r="B20" s="4" t="n">
        <v>10000</v>
      </c>
      <c r="C20" s="4" t="n">
        <v>120000</v>
      </c>
    </row>
    <row r="21">
      <c r="A21" s="3" t="inlineStr">
        <is>
          <t>Miscellaneous</t>
        </is>
      </c>
      <c r="B21" s="4" t="n">
        <v>15000</v>
      </c>
      <c r="C21" s="4" t="n">
        <v>180000</v>
      </c>
    </row>
    <row r="22">
      <c r="A22" s="6" t="inlineStr">
        <is>
          <t>Subtotal Operating</t>
        </is>
      </c>
      <c r="B22" s="7" t="n">
        <v>323000</v>
      </c>
      <c r="C22" s="7" t="n">
        <v>3876000</v>
      </c>
    </row>
    <row r="23">
      <c r="A23" s="3" t="inlineStr"/>
      <c r="B23" s="4" t="inlineStr"/>
      <c r="C23" s="4" t="inlineStr"/>
    </row>
    <row r="24">
      <c r="A24" s="6" t="inlineStr">
        <is>
          <t>TOTAL OPEX</t>
        </is>
      </c>
      <c r="B24" s="7" t="n">
        <v>1585000</v>
      </c>
      <c r="C24" s="7" t="n">
        <v>19020000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5D3A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>
      <c r="A1" s="2" t="inlineStr">
        <is>
          <t>Item</t>
        </is>
      </c>
      <c r="B1" s="2" t="inlineStr">
        <is>
          <t>Cost (THB)</t>
        </is>
      </c>
      <c r="C1" s="2" t="inlineStr">
        <is>
          <t>Notes</t>
        </is>
      </c>
    </row>
    <row r="2">
      <c r="A2" s="6">
        <f>== INFRASTRUCTURE ===</f>
        <v/>
      </c>
      <c r="B2" s="7" t="inlineStr"/>
      <c r="C2" s="7" t="inlineStr"/>
    </row>
    <row r="3">
      <c r="A3" s="3" t="inlineStr">
        <is>
          <t>Office Renovation</t>
        </is>
      </c>
      <c r="B3" s="4" t="n">
        <v>150000</v>
      </c>
      <c r="C3" s="4" t="inlineStr">
        <is>
          <t>Thong Sala, 80m²</t>
        </is>
      </c>
    </row>
    <row r="4">
      <c r="A4" s="3" t="inlineStr">
        <is>
          <t>Furniture + IT</t>
        </is>
      </c>
      <c r="B4" s="4" t="n">
        <v>120000</v>
      </c>
      <c r="C4" s="4" t="inlineStr">
        <is>
          <t>Computers, monitors, server</t>
        </is>
      </c>
    </row>
    <row r="5">
      <c r="A5" s="3" t="inlineStr">
        <is>
          <t>Warehouse Deposit + Renovation</t>
        </is>
      </c>
      <c r="B5" s="4" t="n">
        <v>100000</v>
      </c>
      <c r="C5" s="4" t="inlineStr">
        <is>
          <t>200m², shelves, gate</t>
        </is>
      </c>
    </row>
    <row r="6">
      <c r="A6" s="6" t="inlineStr">
        <is>
          <t>Subtotal Infrastructure</t>
        </is>
      </c>
      <c r="B6" s="7" t="n">
        <v>370000</v>
      </c>
      <c r="C6" s="7" t="inlineStr"/>
    </row>
    <row r="7">
      <c r="A7" s="3" t="inlineStr"/>
      <c r="B7" s="4" t="inlineStr"/>
      <c r="C7" s="4" t="inlineStr"/>
    </row>
    <row r="8">
      <c r="A8" s="6">
        <f>== EQUIPMENT ===</f>
        <v/>
      </c>
      <c r="B8" s="7" t="inlineStr"/>
      <c r="C8" s="7" t="inlineStr"/>
    </row>
    <row r="9">
      <c r="A9" s="3" t="inlineStr">
        <is>
          <t>Vehicles × 3 (used)</t>
        </is>
      </c>
      <c r="B9" s="4" t="n">
        <v>900000</v>
      </c>
      <c r="C9" s="4" t="inlineStr">
        <is>
          <t>Toyota Hilux w/ tool tray</t>
        </is>
      </c>
    </row>
    <row r="10">
      <c r="A10" s="3" t="inlineStr">
        <is>
          <t>Tool Sets × 3</t>
        </is>
      </c>
      <c r="B10" s="4" t="n">
        <v>390000</v>
      </c>
      <c r="C10" s="4" t="inlineStr">
        <is>
          <t>Drills, crimpers, etc.</t>
        </is>
      </c>
    </row>
    <row r="11">
      <c r="A11" s="3" t="inlineStr">
        <is>
          <t>Safety Equipment × 3</t>
        </is>
      </c>
      <c r="B11" s="4" t="n">
        <v>120000</v>
      </c>
      <c r="C11" s="4" t="inlineStr">
        <is>
          <t>Harnesses, helmets, gloves</t>
        </is>
      </c>
    </row>
    <row r="12">
      <c r="A12" s="3" t="inlineStr">
        <is>
          <t>DJI Mini 4 Pro × 2</t>
        </is>
      </c>
      <c r="B12" s="4" t="n">
        <v>70000</v>
      </c>
      <c r="C12" s="4" t="inlineStr">
        <is>
          <t>Roof surveys + inspections</t>
        </is>
      </c>
    </row>
    <row r="13">
      <c r="A13" s="3" t="inlineStr">
        <is>
          <t>FLIR Thermal Camera</t>
        </is>
      </c>
      <c r="B13" s="4" t="n">
        <v>50000</v>
      </c>
      <c r="C13" s="4" t="inlineStr">
        <is>
          <t>QA inspections</t>
        </is>
      </c>
    </row>
    <row r="14">
      <c r="A14" s="3" t="inlineStr">
        <is>
          <t>Multimeters + Testers</t>
        </is>
      </c>
      <c r="B14" s="4" t="n">
        <v>30000</v>
      </c>
      <c r="C14" s="4" t="inlineStr">
        <is>
          <t>Fluke, IV curve</t>
        </is>
      </c>
    </row>
    <row r="15">
      <c r="A15" s="3" t="inlineStr">
        <is>
          <t>PVsyst License × 2</t>
        </is>
      </c>
      <c r="B15" s="4" t="n">
        <v>32000</v>
      </c>
      <c r="C15" s="4" t="inlineStr">
        <is>
          <t>CHF 450/year × 2</t>
        </is>
      </c>
    </row>
    <row r="16">
      <c r="A16" s="3" t="inlineStr">
        <is>
          <t>Small Forklift (used)</t>
        </is>
      </c>
      <c r="B16" s="4" t="n">
        <v>180000</v>
      </c>
      <c r="C16" s="4" t="inlineStr">
        <is>
          <t>For warehouse</t>
        </is>
      </c>
    </row>
    <row r="17">
      <c r="A17" s="6" t="inlineStr">
        <is>
          <t>Subtotal Equipment</t>
        </is>
      </c>
      <c r="B17" s="7" t="n">
        <v>1772000</v>
      </c>
      <c r="C17" s="7" t="inlineStr"/>
    </row>
    <row r="18">
      <c r="A18" s="3" t="inlineStr"/>
      <c r="B18" s="4" t="inlineStr"/>
      <c r="C18" s="4" t="inlineStr"/>
    </row>
    <row r="19">
      <c r="A19" s="6">
        <f>== INITIAL INVENTORY (1 month) ===</f>
        <v/>
      </c>
      <c r="B19" s="7" t="inlineStr"/>
      <c r="C19" s="7" t="inlineStr"/>
    </row>
    <row r="20">
      <c r="A20" s="3" t="inlineStr">
        <is>
          <t>Longi 580W Panels × 1,300</t>
        </is>
      </c>
      <c r="B20" s="4" t="n">
        <v>3600000</v>
      </c>
      <c r="C20" s="4" t="inlineStr">
        <is>
          <t>~757 kWp</t>
        </is>
      </c>
    </row>
    <row r="21">
      <c r="A21" s="3" t="inlineStr">
        <is>
          <t>Huawei Inverters × 22</t>
        </is>
      </c>
      <c r="B21" s="4" t="n">
        <v>2100000</v>
      </c>
      <c r="C21" s="4" t="inlineStr">
        <is>
          <t>50kW units</t>
        </is>
      </c>
    </row>
    <row r="22">
      <c r="A22" s="3" t="inlineStr">
        <is>
          <t>Mounting Structure</t>
        </is>
      </c>
      <c r="B22" s="4" t="n">
        <v>1500000</v>
      </c>
      <c r="C22" s="4" t="inlineStr">
        <is>
          <t>Aluminum rails + clamps</t>
        </is>
      </c>
    </row>
    <row r="23">
      <c r="A23" s="3" t="inlineStr">
        <is>
          <t>DC + AC Cables</t>
        </is>
      </c>
      <c r="B23" s="4" t="n">
        <v>660000</v>
      </c>
      <c r="C23" s="4" t="inlineStr">
        <is>
          <t>~22,000m</t>
        </is>
      </c>
    </row>
    <row r="24">
      <c r="A24" s="3" t="inlineStr">
        <is>
          <t>BOS (breakers, SPD, conduit)</t>
        </is>
      </c>
      <c r="B24" s="4" t="n">
        <v>760000</v>
      </c>
      <c r="C24" s="4" t="inlineStr"/>
    </row>
    <row r="25">
      <c r="A25" s="6" t="inlineStr">
        <is>
          <t>Subtotal Inventory</t>
        </is>
      </c>
      <c r="B25" s="7" t="n">
        <v>8620000</v>
      </c>
      <c r="C25" s="7" t="inlineStr"/>
    </row>
    <row r="26">
      <c r="A26" s="3" t="inlineStr"/>
      <c r="B26" s="4" t="inlineStr"/>
      <c r="C26" s="4" t="inlineStr"/>
    </row>
    <row r="27">
      <c r="A27" s="6">
        <f>== WORKING CAPITAL ===</f>
        <v/>
      </c>
      <c r="B27" s="7" t="inlineStr"/>
      <c r="C27" s="7" t="inlineStr"/>
    </row>
    <row r="28">
      <c r="A28" s="3" t="inlineStr">
        <is>
          <t>OpEx × 3 months</t>
        </is>
      </c>
      <c r="B28" s="4" t="n">
        <v>4410000</v>
      </c>
      <c r="C28" s="4" t="inlineStr"/>
    </row>
    <row r="29">
      <c r="A29" s="3" t="inlineStr"/>
      <c r="B29" s="4" t="inlineStr"/>
      <c r="C29" s="4" t="inlineStr"/>
    </row>
    <row r="30">
      <c r="A30" s="6" t="inlineStr">
        <is>
          <t>TOTAL CAPEX</t>
        </is>
      </c>
      <c r="B30" s="7" t="n">
        <v>15172000</v>
      </c>
      <c r="C30" s="7" t="inlineStr">
        <is>
          <t>~$422K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96FF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8" customWidth="1" min="4" max="4"/>
    <col width="12" customWidth="1" min="5" max="5"/>
  </cols>
  <sheetData>
    <row r="1">
      <c r="A1" s="2" t="inlineStr">
        <is>
          <t>Component</t>
        </is>
      </c>
      <c r="B1" s="2" t="inlineStr">
        <is>
          <t>Our Cost/kWp</t>
        </is>
      </c>
      <c r="C1" s="2" t="inlineStr">
        <is>
          <t>% of Cost</t>
        </is>
      </c>
      <c r="D1" s="2" t="inlineStr">
        <is>
          <t>Sale Price/kWp</t>
        </is>
      </c>
      <c r="E1" s="2" t="inlineStr">
        <is>
          <t>% of Sale</t>
        </is>
      </c>
    </row>
    <row r="2">
      <c r="A2" s="3" t="inlineStr">
        <is>
          <t>Panels</t>
        </is>
      </c>
      <c r="B2" s="4" t="n">
        <v>3000</v>
      </c>
      <c r="C2" s="5" t="n">
        <v>0.254</v>
      </c>
      <c r="D2" s="4" t="n">
        <v>0</v>
      </c>
      <c r="E2" s="5" t="n">
        <v>0</v>
      </c>
    </row>
    <row r="3">
      <c r="A3" s="3" t="inlineStr">
        <is>
          <t>Inverters</t>
        </is>
      </c>
      <c r="B3" s="4" t="n">
        <v>2800</v>
      </c>
      <c r="C3" s="5" t="n">
        <v>0.237</v>
      </c>
      <c r="D3" s="4" t="n">
        <v>0</v>
      </c>
      <c r="E3" s="5" t="n">
        <v>0</v>
      </c>
    </row>
    <row r="4">
      <c r="A4" s="3" t="inlineStr">
        <is>
          <t>Mounting</t>
        </is>
      </c>
      <c r="B4" s="4" t="n">
        <v>2000</v>
      </c>
      <c r="C4" s="5" t="n">
        <v>0.169</v>
      </c>
      <c r="D4" s="4" t="n">
        <v>0</v>
      </c>
      <c r="E4" s="5" t="n">
        <v>0</v>
      </c>
    </row>
    <row r="5">
      <c r="A5" s="3" t="inlineStr">
        <is>
          <t>Cables + BOS</t>
        </is>
      </c>
      <c r="B5" s="4" t="n">
        <v>1500</v>
      </c>
      <c r="C5" s="5" t="n">
        <v>0.127</v>
      </c>
      <c r="D5" s="4" t="n">
        <v>0</v>
      </c>
      <c r="E5" s="5" t="n">
        <v>0</v>
      </c>
    </row>
    <row r="6">
      <c r="A6" s="3" t="inlineStr">
        <is>
          <t>Labor</t>
        </is>
      </c>
      <c r="B6" s="4" t="n">
        <v>2500</v>
      </c>
      <c r="C6" s="5" t="n">
        <v>0.212</v>
      </c>
      <c r="D6" s="4" t="n">
        <v>0</v>
      </c>
      <c r="E6" s="5" t="n">
        <v>0</v>
      </c>
    </row>
    <row r="7">
      <c r="A7" s="3" t="inlineStr">
        <is>
          <t>Planning + Management</t>
        </is>
      </c>
      <c r="B7" s="4" t="n">
        <v>0</v>
      </c>
      <c r="C7" s="5" t="n">
        <v>0</v>
      </c>
      <c r="D7" s="4" t="n">
        <v>5000</v>
      </c>
      <c r="E7" s="5" t="n">
        <v>0.154</v>
      </c>
    </row>
    <row r="8">
      <c r="A8" s="3" t="inlineStr">
        <is>
          <t>Licensing + PEA</t>
        </is>
      </c>
      <c r="B8" s="4" t="n">
        <v>0</v>
      </c>
      <c r="C8" s="5" t="n">
        <v>0</v>
      </c>
      <c r="D8" s="4" t="n">
        <v>3000</v>
      </c>
      <c r="E8" s="5" t="n">
        <v>0.092</v>
      </c>
    </row>
    <row r="9">
      <c r="A9" s="3" t="inlineStr">
        <is>
          <t>Warranty + O&amp;M Year 1</t>
        </is>
      </c>
      <c r="B9" s="4" t="n">
        <v>0</v>
      </c>
      <c r="C9" s="5" t="n">
        <v>0</v>
      </c>
      <c r="D9" s="4" t="n">
        <v>2000</v>
      </c>
      <c r="E9" s="5" t="n">
        <v>0.062</v>
      </c>
    </row>
    <row r="10">
      <c r="A10" s="3" t="inlineStr">
        <is>
          <t>Equipment markup</t>
        </is>
      </c>
      <c r="B10" s="4" t="n">
        <v>0</v>
      </c>
      <c r="C10" s="5" t="n">
        <v>0</v>
      </c>
      <c r="D10" s="4" t="n">
        <v>16500</v>
      </c>
      <c r="E10" s="5" t="n">
        <v>0.508</v>
      </c>
    </row>
    <row r="11">
      <c r="A11" s="3" t="inlineStr">
        <is>
          <t>Labor markup</t>
        </is>
      </c>
      <c r="B11" s="4" t="n">
        <v>0</v>
      </c>
      <c r="C11" s="5" t="n">
        <v>0</v>
      </c>
      <c r="D11" s="4" t="n">
        <v>6000</v>
      </c>
      <c r="E11" s="5" t="n">
        <v>0.185</v>
      </c>
    </row>
    <row r="12">
      <c r="A12" s="3" t="inlineStr"/>
      <c r="B12" s="4" t="inlineStr"/>
      <c r="C12" s="5" t="inlineStr"/>
      <c r="D12" s="4" t="inlineStr"/>
      <c r="E12" s="5" t="inlineStr"/>
    </row>
    <row r="13">
      <c r="A13" s="6" t="inlineStr">
        <is>
          <t>TOTAL</t>
        </is>
      </c>
      <c r="B13" s="7" t="n">
        <v>11800</v>
      </c>
      <c r="C13" s="8" t="n">
        <v>1</v>
      </c>
      <c r="D13" s="7" t="n">
        <v>32500</v>
      </c>
      <c r="E13" s="8" t="n">
        <v>1</v>
      </c>
    </row>
    <row r="14">
      <c r="A14" s="6" t="inlineStr">
        <is>
          <t>Gross Margin</t>
        </is>
      </c>
      <c r="B14" s="7" t="inlineStr"/>
      <c r="C14" s="8" t="inlineStr"/>
      <c r="D14" s="7" t="n">
        <v>20700</v>
      </c>
      <c r="E14" s="8" t="n">
        <v>0.637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D89A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/>
      <c r="B1" s="2" t="inlineStr">
        <is>
          <t>Q1 avg/mo</t>
        </is>
      </c>
      <c r="C1" s="2" t="inlineStr">
        <is>
          <t>Q2 avg/mo</t>
        </is>
      </c>
      <c r="D1" s="2" t="inlineStr">
        <is>
          <t>Q3 avg/mo</t>
        </is>
      </c>
      <c r="E1" s="2" t="inlineStr">
        <is>
          <t>Q4 avg/mo</t>
        </is>
      </c>
      <c r="F1" s="2" t="inlineStr">
        <is>
          <t>Year 1 Total</t>
        </is>
      </c>
    </row>
    <row r="2">
      <c r="A2" s="3" t="inlineStr">
        <is>
          <t>EPC systems/month</t>
        </is>
      </c>
      <c r="B2" s="4" t="n">
        <v>3</v>
      </c>
      <c r="C2" s="4" t="n">
        <v>6</v>
      </c>
      <c r="D2" s="4" t="n">
        <v>7</v>
      </c>
      <c r="E2" s="4" t="n">
        <v>7</v>
      </c>
      <c r="F2" s="4" t="n">
        <v>73</v>
      </c>
    </row>
    <row r="3">
      <c r="A3" s="3" t="inlineStr">
        <is>
          <t>PPA systems/month</t>
        </is>
      </c>
      <c r="B3" s="4" t="n">
        <v>5</v>
      </c>
      <c r="C3" s="4" t="n">
        <v>9</v>
      </c>
      <c r="D3" s="4" t="n">
        <v>10</v>
      </c>
      <c r="E3" s="4" t="n">
        <v>12</v>
      </c>
      <c r="F3" s="4" t="n">
        <v>109</v>
      </c>
    </row>
    <row r="4">
      <c r="A4" s="3" t="inlineStr">
        <is>
          <t>kWp EPC</t>
        </is>
      </c>
      <c r="B4" s="4" t="n">
        <v>150</v>
      </c>
      <c r="C4" s="4" t="n">
        <v>300</v>
      </c>
      <c r="D4" s="4" t="n">
        <v>350</v>
      </c>
      <c r="E4" s="4" t="n">
        <v>350</v>
      </c>
      <c r="F4" s="4" t="n">
        <v>3636</v>
      </c>
    </row>
    <row r="5">
      <c r="A5" s="3" t="inlineStr">
        <is>
          <t>kWp PPA</t>
        </is>
      </c>
      <c r="B5" s="4" t="n">
        <v>250</v>
      </c>
      <c r="C5" s="4" t="n">
        <v>450</v>
      </c>
      <c r="D5" s="4" t="n">
        <v>500</v>
      </c>
      <c r="E5" s="4" t="n">
        <v>600</v>
      </c>
      <c r="F5" s="4" t="n">
        <v>5455</v>
      </c>
    </row>
    <row r="6">
      <c r="A6" s="3" t="inlineStr"/>
      <c r="B6" s="4" t="inlineStr"/>
      <c r="C6" s="4" t="inlineStr"/>
      <c r="D6" s="4" t="inlineStr"/>
      <c r="E6" s="4" t="inlineStr"/>
      <c r="F6" s="4" t="inlineStr"/>
    </row>
    <row r="7">
      <c r="A7" s="3" t="inlineStr">
        <is>
          <t>EPC Revenue</t>
        </is>
      </c>
      <c r="B7" s="4" t="n">
        <v>4880000</v>
      </c>
      <c r="C7" s="4" t="n">
        <v>9750000</v>
      </c>
      <c r="D7" s="4" t="n">
        <v>11380000</v>
      </c>
      <c r="E7" s="4" t="n">
        <v>11380000</v>
      </c>
      <c r="F7" s="4" t="n">
        <v>118170000</v>
      </c>
    </row>
    <row r="8">
      <c r="A8" s="3" t="inlineStr">
        <is>
          <t>PPA Revenue (cumulative)</t>
        </is>
      </c>
      <c r="B8" s="4" t="n">
        <v>500000</v>
      </c>
      <c r="C8" s="4" t="n">
        <v>2100000</v>
      </c>
      <c r="D8" s="4" t="n">
        <v>4800000</v>
      </c>
      <c r="E8" s="4" t="n">
        <v>8200000</v>
      </c>
      <c r="F8" s="4" t="n">
        <v>15600000</v>
      </c>
    </row>
    <row r="9">
      <c r="A9" s="6" t="inlineStr">
        <is>
          <t>Total Revenue</t>
        </is>
      </c>
      <c r="B9" s="7" t="n">
        <v>5380000</v>
      </c>
      <c r="C9" s="7" t="n">
        <v>11850000</v>
      </c>
      <c r="D9" s="7" t="n">
        <v>16180000</v>
      </c>
      <c r="E9" s="7" t="n">
        <v>19580000</v>
      </c>
      <c r="F9" s="7" t="n">
        <v>133770000</v>
      </c>
    </row>
    <row r="10">
      <c r="A10" s="3" t="inlineStr"/>
      <c r="B10" s="4" t="inlineStr"/>
      <c r="C10" s="4" t="inlineStr"/>
      <c r="D10" s="4" t="inlineStr"/>
      <c r="E10" s="4" t="inlineStr"/>
      <c r="F10" s="4" t="inlineStr"/>
    </row>
    <row r="11">
      <c r="A11" s="3" t="inlineStr">
        <is>
          <t>EPC Equipment Cost</t>
        </is>
      </c>
      <c r="B11" s="4" t="n">
        <v>1400000</v>
      </c>
      <c r="C11" s="4" t="n">
        <v>2800000</v>
      </c>
      <c r="D11" s="4" t="n">
        <v>3260000</v>
      </c>
      <c r="E11" s="4" t="n">
        <v>3260000</v>
      </c>
      <c r="F11" s="4" t="n">
        <v>33810000</v>
      </c>
    </row>
    <row r="12">
      <c r="A12" s="3" t="inlineStr">
        <is>
          <t>EPC Labor Cost</t>
        </is>
      </c>
      <c r="B12" s="4" t="n">
        <v>380000</v>
      </c>
      <c r="C12" s="4" t="n">
        <v>750000</v>
      </c>
      <c r="D12" s="4" t="n">
        <v>880000</v>
      </c>
      <c r="E12" s="4" t="n">
        <v>880000</v>
      </c>
      <c r="F12" s="4" t="n">
        <v>9090000</v>
      </c>
    </row>
    <row r="13">
      <c r="A13" s="3" t="inlineStr">
        <is>
          <t>PPA Investment</t>
        </is>
      </c>
      <c r="B13" s="4" t="n">
        <v>2950000</v>
      </c>
      <c r="C13" s="4" t="n">
        <v>5310000</v>
      </c>
      <c r="D13" s="4" t="n">
        <v>5900000</v>
      </c>
      <c r="E13" s="4" t="n">
        <v>7080000</v>
      </c>
      <c r="F13" s="4" t="n">
        <v>64370000</v>
      </c>
    </row>
    <row r="14">
      <c r="A14" s="3" t="inlineStr">
        <is>
          <t>O&amp;M (PPA fleet)</t>
        </is>
      </c>
      <c r="B14" s="4" t="n">
        <v>50000</v>
      </c>
      <c r="C14" s="4" t="n">
        <v>180000</v>
      </c>
      <c r="D14" s="4" t="n">
        <v>400000</v>
      </c>
      <c r="E14" s="4" t="n">
        <v>650000</v>
      </c>
      <c r="F14" s="4" t="n">
        <v>3930000</v>
      </c>
    </row>
    <row r="15">
      <c r="A15" s="3" t="inlineStr">
        <is>
          <t>Salaries</t>
        </is>
      </c>
      <c r="B15" s="4" t="n">
        <v>1260000</v>
      </c>
      <c r="C15" s="4" t="n">
        <v>1260000</v>
      </c>
      <c r="D15" s="4" t="n">
        <v>1260000</v>
      </c>
      <c r="E15" s="4" t="n">
        <v>1260000</v>
      </c>
      <c r="F15" s="4" t="n">
        <v>15120000</v>
      </c>
    </row>
    <row r="16">
      <c r="A16" s="3" t="inlineStr">
        <is>
          <t>Operating Expenses</t>
        </is>
      </c>
      <c r="B16" s="4" t="n">
        <v>320000</v>
      </c>
      <c r="C16" s="4" t="n">
        <v>320000</v>
      </c>
      <c r="D16" s="4" t="n">
        <v>320000</v>
      </c>
      <c r="E16" s="4" t="n">
        <v>320000</v>
      </c>
      <c r="F16" s="4" t="n">
        <v>3880000</v>
      </c>
    </row>
    <row r="17">
      <c r="A17" s="6" t="inlineStr">
        <is>
          <t>Total Expenses</t>
        </is>
      </c>
      <c r="B17" s="7" t="n">
        <v>6360000</v>
      </c>
      <c r="C17" s="7" t="n">
        <v>10620000</v>
      </c>
      <c r="D17" s="7" t="n">
        <v>12020000</v>
      </c>
      <c r="E17" s="7" t="n">
        <v>13450000</v>
      </c>
      <c r="F17" s="7" t="n">
        <v>130200000</v>
      </c>
    </row>
    <row r="18">
      <c r="A18" s="3" t="inlineStr"/>
      <c r="B18" s="4" t="inlineStr"/>
      <c r="C18" s="4" t="inlineStr"/>
      <c r="D18" s="4" t="inlineStr"/>
      <c r="E18" s="4" t="inlineStr"/>
      <c r="F18" s="4" t="inlineStr"/>
    </row>
    <row r="19">
      <c r="A19" s="6" t="inlineStr">
        <is>
          <t>Profit / Loss</t>
        </is>
      </c>
      <c r="B19" s="7" t="n">
        <v>-980000</v>
      </c>
      <c r="C19" s="7" t="n">
        <v>1230000</v>
      </c>
      <c r="D19" s="7" t="n">
        <v>4160000</v>
      </c>
      <c r="E19" s="7" t="n">
        <v>6130000</v>
      </c>
      <c r="F19" s="7" t="n">
        <v>3570000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A3D5C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2" t="inlineStr"/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s="6">
        <f>== REVENUE ===</f>
        <v/>
      </c>
      <c r="B2" s="7" t="inlineStr"/>
      <c r="C2" s="7" t="inlineStr"/>
      <c r="D2" s="7" t="inlineStr"/>
    </row>
    <row r="3">
      <c r="A3" s="3" t="inlineStr">
        <is>
          <t>EPC (installations)</t>
        </is>
      </c>
      <c r="B3" s="4" t="n">
        <v>118200000</v>
      </c>
      <c r="C3" s="4" t="n">
        <v>165400000</v>
      </c>
      <c r="D3" s="4" t="n">
        <v>212700000</v>
      </c>
    </row>
    <row r="4">
      <c r="A4" s="3" t="inlineStr">
        <is>
          <t>PPA (recurring)</t>
        </is>
      </c>
      <c r="B4" s="4" t="n">
        <v>15600000</v>
      </c>
      <c r="C4" s="4" t="n">
        <v>95800000</v>
      </c>
      <c r="D4" s="4" t="n">
        <v>166000000</v>
      </c>
    </row>
    <row r="5">
      <c r="A5" s="3" t="inlineStr">
        <is>
          <t>O&amp;M contracts</t>
        </is>
      </c>
      <c r="B5" s="4" t="n">
        <v>3600000</v>
      </c>
      <c r="C5" s="4" t="n">
        <v>13000000</v>
      </c>
      <c r="D5" s="4" t="n">
        <v>26500000</v>
      </c>
    </row>
    <row r="6">
      <c r="A6" s="6" t="inlineStr">
        <is>
          <t>Total Revenue</t>
        </is>
      </c>
      <c r="B6" s="7" t="n">
        <v>137400000</v>
      </c>
      <c r="C6" s="7" t="n">
        <v>274200000</v>
      </c>
      <c r="D6" s="7" t="n">
        <v>405200000</v>
      </c>
    </row>
    <row r="7">
      <c r="A7" s="3" t="inlineStr"/>
      <c r="B7" s="4" t="inlineStr"/>
      <c r="C7" s="4" t="inlineStr"/>
      <c r="D7" s="4" t="inlineStr"/>
    </row>
    <row r="8">
      <c r="A8" s="6">
        <f>== DIRECT COSTS ===</f>
        <v/>
      </c>
      <c r="B8" s="7" t="inlineStr"/>
      <c r="C8" s="7" t="inlineStr"/>
      <c r="D8" s="7" t="inlineStr"/>
    </row>
    <row r="9">
      <c r="A9" s="3" t="inlineStr">
        <is>
          <t>EPC Equipment</t>
        </is>
      </c>
      <c r="B9" s="4" t="n">
        <v>33800000</v>
      </c>
      <c r="C9" s="4" t="n">
        <v>47300000</v>
      </c>
      <c r="D9" s="4" t="n">
        <v>60900000</v>
      </c>
    </row>
    <row r="10">
      <c r="A10" s="3" t="inlineStr">
        <is>
          <t>EPC Labor</t>
        </is>
      </c>
      <c r="B10" s="4" t="n">
        <v>9100000</v>
      </c>
      <c r="C10" s="4" t="n">
        <v>12700000</v>
      </c>
      <c r="D10" s="4" t="n">
        <v>16400000</v>
      </c>
    </row>
    <row r="11">
      <c r="A11" s="3" t="inlineStr">
        <is>
          <t>PPA Investment (equip+labor)</t>
        </is>
      </c>
      <c r="B11" s="4" t="n">
        <v>64400000</v>
      </c>
      <c r="C11" s="4" t="n">
        <v>88500000</v>
      </c>
      <c r="D11" s="4" t="n">
        <v>112100000</v>
      </c>
    </row>
    <row r="12">
      <c r="A12" s="3" t="inlineStr">
        <is>
          <t>O&amp;M (PPA fleet)</t>
        </is>
      </c>
      <c r="B12" s="4" t="n">
        <v>3930000</v>
      </c>
      <c r="C12" s="4" t="n">
        <v>9300000</v>
      </c>
      <c r="D12" s="4" t="n">
        <v>16200000</v>
      </c>
    </row>
    <row r="13">
      <c r="A13" s="6" t="inlineStr">
        <is>
          <t>Total Direct Costs</t>
        </is>
      </c>
      <c r="B13" s="7" t="n">
        <v>111230000</v>
      </c>
      <c r="C13" s="7" t="n">
        <v>157800000</v>
      </c>
      <c r="D13" s="7" t="n">
        <v>205600000</v>
      </c>
    </row>
    <row r="14">
      <c r="A14" s="3" t="inlineStr"/>
      <c r="B14" s="4" t="inlineStr"/>
      <c r="C14" s="4" t="inlineStr"/>
      <c r="D14" s="4" t="inlineStr"/>
    </row>
    <row r="15">
      <c r="A15" s="6" t="inlineStr">
        <is>
          <t>Gross Profit</t>
        </is>
      </c>
      <c r="B15" s="7" t="n">
        <v>26170000</v>
      </c>
      <c r="C15" s="7" t="n">
        <v>116400000</v>
      </c>
      <c r="D15" s="7" t="n">
        <v>199600000</v>
      </c>
    </row>
    <row r="16">
      <c r="A16" s="3" t="inlineStr">
        <is>
          <t>Gross Margin</t>
        </is>
      </c>
      <c r="B16" s="5" t="n">
        <v>0.191</v>
      </c>
      <c r="C16" s="5" t="n">
        <v>0.425</v>
      </c>
      <c r="D16" s="5" t="n">
        <v>0.493</v>
      </c>
    </row>
    <row r="17">
      <c r="A17" s="3" t="inlineStr"/>
      <c r="B17" s="4" t="inlineStr"/>
      <c r="C17" s="4" t="inlineStr"/>
      <c r="D17" s="4" t="inlineStr"/>
    </row>
    <row r="18">
      <c r="A18" s="6">
        <f>== OPEX ===</f>
        <v/>
      </c>
      <c r="B18" s="7" t="inlineStr"/>
      <c r="C18" s="7" t="inlineStr"/>
      <c r="D18" s="7" t="inlineStr"/>
    </row>
    <row r="19">
      <c r="A19" s="3" t="inlineStr">
        <is>
          <t>Salaries + Social</t>
        </is>
      </c>
      <c r="B19" s="4" t="n">
        <v>15100000</v>
      </c>
      <c r="C19" s="4" t="n">
        <v>20700000</v>
      </c>
      <c r="D19" s="4" t="n">
        <v>27500000</v>
      </c>
    </row>
    <row r="20">
      <c r="A20" s="3" t="inlineStr">
        <is>
          <t>Operating + Marketing</t>
        </is>
      </c>
      <c r="B20" s="4" t="n">
        <v>3880000</v>
      </c>
      <c r="C20" s="4" t="n">
        <v>5000000</v>
      </c>
      <c r="D20" s="4" t="n">
        <v>6500000</v>
      </c>
    </row>
    <row r="21">
      <c r="A21" s="6" t="inlineStr">
        <is>
          <t>Total OpEx</t>
        </is>
      </c>
      <c r="B21" s="7" t="n">
        <v>18980000</v>
      </c>
      <c r="C21" s="7" t="n">
        <v>25700000</v>
      </c>
      <c r="D21" s="7" t="n">
        <v>34000000</v>
      </c>
    </row>
    <row r="22">
      <c r="A22" s="3" t="inlineStr"/>
      <c r="B22" s="4" t="inlineStr"/>
      <c r="C22" s="4" t="inlineStr"/>
      <c r="D22" s="4" t="inlineStr"/>
    </row>
    <row r="23">
      <c r="A23" s="6" t="inlineStr">
        <is>
          <t>EBITDA</t>
        </is>
      </c>
      <c r="B23" s="7" t="n">
        <v>7190000</v>
      </c>
      <c r="C23" s="7" t="n">
        <v>90700000</v>
      </c>
      <c r="D23" s="7" t="n">
        <v>165600000</v>
      </c>
    </row>
    <row r="24">
      <c r="A24" s="6" t="inlineStr">
        <is>
          <t>EBITDA Margin</t>
        </is>
      </c>
      <c r="B24" s="8" t="n">
        <v>0.052</v>
      </c>
      <c r="C24" s="8" t="n">
        <v>0.331</v>
      </c>
      <c r="D24" s="8" t="n">
        <v>0.409</v>
      </c>
    </row>
    <row r="25">
      <c r="A25" s="3" t="inlineStr">
        <is>
          <t>Tax (BOI exempt)</t>
        </is>
      </c>
      <c r="B25" s="4" t="n">
        <v>0</v>
      </c>
      <c r="C25" s="4" t="n">
        <v>0</v>
      </c>
      <c r="D25" s="4" t="n">
        <v>0</v>
      </c>
    </row>
    <row r="26">
      <c r="A26" s="6" t="inlineStr">
        <is>
          <t>Net Profit</t>
        </is>
      </c>
      <c r="B26" s="7" t="n">
        <v>7190000</v>
      </c>
      <c r="C26" s="7" t="n">
        <v>90700000</v>
      </c>
      <c r="D26" s="7" t="n">
        <v>165600000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D89A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/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  <c r="E1" s="2" t="inlineStr">
        <is>
          <t>Year 4</t>
        </is>
      </c>
      <c r="F1" s="2" t="inlineStr">
        <is>
          <t>Year 5</t>
        </is>
      </c>
    </row>
    <row r="2">
      <c r="A2" s="3" t="inlineStr">
        <is>
          <t>New PPA (kWp)</t>
        </is>
      </c>
      <c r="B2" s="4" t="n">
        <v>5455</v>
      </c>
      <c r="C2" s="4" t="n">
        <v>7500</v>
      </c>
      <c r="D2" s="4" t="n">
        <v>9500</v>
      </c>
      <c r="E2" s="4" t="n">
        <v>12000</v>
      </c>
      <c r="F2" s="4" t="n">
        <v>15000</v>
      </c>
    </row>
    <row r="3">
      <c r="A3" s="3" t="inlineStr">
        <is>
          <t>Cumulative PPA (kWp)</t>
        </is>
      </c>
      <c r="B3" s="4" t="n">
        <v>5455</v>
      </c>
      <c r="C3" s="4" t="n">
        <v>12955</v>
      </c>
      <c r="D3" s="4" t="n">
        <v>22455</v>
      </c>
      <c r="E3" s="4" t="n">
        <v>34455</v>
      </c>
      <c r="F3" s="4" t="n">
        <v>49455</v>
      </c>
    </row>
    <row r="4">
      <c r="A4" s="3" t="inlineStr">
        <is>
          <t>Annual Production (MWh)</t>
        </is>
      </c>
      <c r="B4" s="4" t="n">
        <v>8960</v>
      </c>
      <c r="C4" s="4" t="n">
        <v>21289</v>
      </c>
      <c r="D4" s="4" t="n">
        <v>36897</v>
      </c>
      <c r="E4" s="4" t="n">
        <v>56607</v>
      </c>
      <c r="F4" s="4" t="n">
        <v>81254</v>
      </c>
    </row>
    <row r="5">
      <c r="A5" s="3" t="inlineStr">
        <is>
          <t>Annual PPA Revenue</t>
        </is>
      </c>
      <c r="B5" s="4" t="n">
        <v>40300000</v>
      </c>
      <c r="C5" s="4" t="n">
        <v>95800000</v>
      </c>
      <c r="D5" s="4" t="n">
        <v>166000000</v>
      </c>
      <c r="E5" s="4" t="n">
        <v>254700000</v>
      </c>
      <c r="F5" s="4" t="n">
        <v>365600000</v>
      </c>
    </row>
    <row r="6">
      <c r="A6" s="3" t="inlineStr">
        <is>
          <t>Annual O&amp;M</t>
        </is>
      </c>
      <c r="B6" s="4" t="n">
        <v>3930000</v>
      </c>
      <c r="C6" s="4" t="n">
        <v>9300000</v>
      </c>
      <c r="D6" s="4" t="n">
        <v>16200000</v>
      </c>
      <c r="E6" s="4" t="n">
        <v>24800000</v>
      </c>
      <c r="F6" s="4" t="n">
        <v>35600000</v>
      </c>
    </row>
    <row r="7">
      <c r="A7" s="6" t="inlineStr">
        <is>
          <t>Net Annual PPA</t>
        </is>
      </c>
      <c r="B7" s="7" t="n">
        <v>36370000</v>
      </c>
      <c r="C7" s="7" t="n">
        <v>86500000</v>
      </c>
      <c r="D7" s="7" t="n">
        <v>149800000</v>
      </c>
      <c r="E7" s="7" t="n">
        <v>229900000</v>
      </c>
      <c r="F7" s="7" t="n">
        <v>330000000</v>
      </c>
    </row>
    <row r="8">
      <c r="A8" s="3" t="inlineStr">
        <is>
          <t>Cumulative Investment</t>
        </is>
      </c>
      <c r="B8" s="4" t="n">
        <v>64400000</v>
      </c>
      <c r="C8" s="4" t="n">
        <v>152900000</v>
      </c>
      <c r="D8" s="4" t="n">
        <v>265000000</v>
      </c>
      <c r="E8" s="4" t="n">
        <v>406600000</v>
      </c>
      <c r="F8" s="4" t="n">
        <v>583600000</v>
      </c>
    </row>
    <row r="9">
      <c r="A9" s="6" t="inlineStr">
        <is>
          <t>Monthly MRR from PPA</t>
        </is>
      </c>
      <c r="B9" s="7" t="n">
        <v>3400000</v>
      </c>
      <c r="C9" s="7" t="n">
        <v>8000000</v>
      </c>
      <c r="D9" s="7" t="n">
        <v>13800000</v>
      </c>
      <c r="E9" s="7" t="n">
        <v>21300000</v>
      </c>
      <c r="F9" s="7" t="n">
        <v>30500000</v>
      </c>
    </row>
    <row r="10">
      <c r="A10" s="6" t="inlineStr">
        <is>
          <t>Asset Value (10yr DCF)</t>
        </is>
      </c>
      <c r="B10" s="7" t="n">
        <v>285000000</v>
      </c>
      <c r="C10" s="7" t="n">
        <v>676000000</v>
      </c>
      <c r="D10" s="7" t="n">
        <v>1170000000</v>
      </c>
      <c r="E10" s="7" t="n">
        <v>1800000000</v>
      </c>
      <c r="F10" s="7" t="n">
        <v>2580000000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A82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2" t="inlineStr"/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s="6">
        <f>== INFLOWS ===</f>
        <v/>
      </c>
      <c r="B2" s="7" t="inlineStr"/>
      <c r="C2" s="7" t="inlineStr"/>
      <c r="D2" s="7" t="inlineStr"/>
    </row>
    <row r="3">
      <c r="A3" s="3" t="inlineStr">
        <is>
          <t>Equity / Investor</t>
        </is>
      </c>
      <c r="B3" s="4" t="n">
        <v>15200000</v>
      </c>
      <c r="C3" s="4" t="n">
        <v>0</v>
      </c>
      <c r="D3" s="4" t="n">
        <v>0</v>
      </c>
    </row>
    <row r="4">
      <c r="A4" s="3" t="inlineStr">
        <is>
          <t>Bank Loan (PPA)</t>
        </is>
      </c>
      <c r="B4" s="4" t="n">
        <v>45000000</v>
      </c>
      <c r="C4" s="4" t="n">
        <v>65000000</v>
      </c>
      <c r="D4" s="4" t="n">
        <v>80000000</v>
      </c>
    </row>
    <row r="5">
      <c r="A5" s="3" t="inlineStr">
        <is>
          <t>EPC Revenue</t>
        </is>
      </c>
      <c r="B5" s="4" t="n">
        <v>118200000</v>
      </c>
      <c r="C5" s="4" t="n">
        <v>165400000</v>
      </c>
      <c r="D5" s="4" t="n">
        <v>212700000</v>
      </c>
    </row>
    <row r="6">
      <c r="A6" s="3" t="inlineStr">
        <is>
          <t>PPA Revenue</t>
        </is>
      </c>
      <c r="B6" s="4" t="n">
        <v>15600000</v>
      </c>
      <c r="C6" s="4" t="n">
        <v>95800000</v>
      </c>
      <c r="D6" s="4" t="n">
        <v>166000000</v>
      </c>
    </row>
    <row r="7">
      <c r="A7" s="3" t="inlineStr">
        <is>
          <t>O&amp;M Revenue</t>
        </is>
      </c>
      <c r="B7" s="4" t="n">
        <v>3600000</v>
      </c>
      <c r="C7" s="4" t="n">
        <v>13000000</v>
      </c>
      <c r="D7" s="4" t="n">
        <v>26500000</v>
      </c>
    </row>
    <row r="8">
      <c r="A8" s="6" t="inlineStr">
        <is>
          <t>Total Inflows</t>
        </is>
      </c>
      <c r="B8" s="7" t="n">
        <v>197600000</v>
      </c>
      <c r="C8" s="7" t="n">
        <v>339200000</v>
      </c>
      <c r="D8" s="7" t="n">
        <v>485200000</v>
      </c>
    </row>
    <row r="9">
      <c r="A9" s="3" t="inlineStr"/>
      <c r="B9" s="4" t="inlineStr"/>
      <c r="C9" s="4" t="inlineStr"/>
      <c r="D9" s="4" t="inlineStr"/>
    </row>
    <row r="10">
      <c r="A10" s="6">
        <f>== OUTFLOWS ===</f>
        <v/>
      </c>
      <c r="B10" s="7" t="inlineStr"/>
      <c r="C10" s="7" t="inlineStr"/>
      <c r="D10" s="7" t="inlineStr"/>
    </row>
    <row r="11">
      <c r="A11" s="3" t="inlineStr">
        <is>
          <t>CapEx + Working Capital</t>
        </is>
      </c>
      <c r="B11" s="4" t="n">
        <v>15200000</v>
      </c>
      <c r="C11" s="4" t="n">
        <v>4000000</v>
      </c>
      <c r="D11" s="4" t="n">
        <v>5000000</v>
      </c>
    </row>
    <row r="12">
      <c r="A12" s="3" t="inlineStr">
        <is>
          <t>EPC Costs (equip + labor)</t>
        </is>
      </c>
      <c r="B12" s="4" t="n">
        <v>42900000</v>
      </c>
      <c r="C12" s="4" t="n">
        <v>60000000</v>
      </c>
      <c r="D12" s="4" t="n">
        <v>77300000</v>
      </c>
    </row>
    <row r="13">
      <c r="A13" s="3" t="inlineStr">
        <is>
          <t>PPA Investment</t>
        </is>
      </c>
      <c r="B13" s="4" t="n">
        <v>64400000</v>
      </c>
      <c r="C13" s="4" t="n">
        <v>88500000</v>
      </c>
      <c r="D13" s="4" t="n">
        <v>112100000</v>
      </c>
    </row>
    <row r="14">
      <c r="A14" s="3" t="inlineStr">
        <is>
          <t>OpEx (salary + ops)</t>
        </is>
      </c>
      <c r="B14" s="4" t="n">
        <v>19000000</v>
      </c>
      <c r="C14" s="4" t="n">
        <v>25700000</v>
      </c>
      <c r="D14" s="4" t="n">
        <v>34000000</v>
      </c>
    </row>
    <row r="15">
      <c r="A15" s="3" t="inlineStr">
        <is>
          <t>O&amp;M (PPA fleet)</t>
        </is>
      </c>
      <c r="B15" s="4" t="n">
        <v>3930000</v>
      </c>
      <c r="C15" s="4" t="n">
        <v>9300000</v>
      </c>
      <c r="D15" s="4" t="n">
        <v>16200000</v>
      </c>
    </row>
    <row r="16">
      <c r="A16" s="3" t="inlineStr">
        <is>
          <t>Loan Repayment + Interest</t>
        </is>
      </c>
      <c r="B16" s="4" t="n">
        <v>5500000</v>
      </c>
      <c r="C16" s="4" t="n">
        <v>17000000</v>
      </c>
      <c r="D16" s="4" t="n">
        <v>30000000</v>
      </c>
    </row>
    <row r="17">
      <c r="A17" s="6" t="inlineStr">
        <is>
          <t>Total Outflows</t>
        </is>
      </c>
      <c r="B17" s="7" t="n">
        <v>150930000</v>
      </c>
      <c r="C17" s="7" t="n">
        <v>204500000</v>
      </c>
      <c r="D17" s="7" t="n">
        <v>274600000</v>
      </c>
    </row>
    <row r="18">
      <c r="A18" s="3" t="inlineStr"/>
      <c r="B18" s="4" t="inlineStr"/>
      <c r="C18" s="4" t="inlineStr"/>
      <c r="D18" s="4" t="inlineStr"/>
    </row>
    <row r="19">
      <c r="A19" s="6" t="inlineStr">
        <is>
          <t>Net Cash Flow</t>
        </is>
      </c>
      <c r="B19" s="7" t="n">
        <v>46670000</v>
      </c>
      <c r="C19" s="7" t="n">
        <v>134700000</v>
      </c>
      <c r="D19" s="7" t="n">
        <v>210600000</v>
      </c>
    </row>
    <row r="20">
      <c r="A20" s="6" t="inlineStr">
        <is>
          <t>Cumulative Cash</t>
        </is>
      </c>
      <c r="B20" s="7" t="n">
        <v>46670000</v>
      </c>
      <c r="C20" s="7" t="n">
        <v>181370000</v>
      </c>
      <c r="D20" s="7" t="n">
        <v>391970000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496FF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/>
      <c r="B1" s="2" t="inlineStr">
        <is>
          <t>EPC Co.</t>
        </is>
      </c>
      <c r="C1" s="2" t="inlineStr">
        <is>
          <t>PPA Co. (SPV)</t>
        </is>
      </c>
    </row>
    <row r="2">
      <c r="A2" s="6">
        <f>== YEAR 1 ===</f>
        <v/>
      </c>
      <c r="B2" s="7" t="inlineStr"/>
      <c r="C2" s="7" t="inlineStr"/>
    </row>
    <row r="3">
      <c r="A3" s="3" t="inlineStr">
        <is>
          <t>Revenue — External Customers</t>
        </is>
      </c>
      <c r="B3" s="4" t="n">
        <v>118200000</v>
      </c>
      <c r="C3" s="4" t="n">
        <v>0</v>
      </c>
    </row>
    <row r="4">
      <c r="A4" s="3" t="inlineStr">
        <is>
          <t>Revenue — From PPA Co (cost+15%)</t>
        </is>
      </c>
      <c r="B4" s="4" t="n">
        <v>74000000</v>
      </c>
      <c r="C4" s="4" t="n">
        <v>0</v>
      </c>
    </row>
    <row r="5">
      <c r="A5" s="3" t="inlineStr">
        <is>
          <t>PPA Revenue (ramp-up)</t>
        </is>
      </c>
      <c r="B5" s="4" t="n">
        <v>0</v>
      </c>
      <c r="C5" s="4" t="n">
        <v>15600000</v>
      </c>
    </row>
    <row r="6">
      <c r="A6" s="6" t="inlineStr">
        <is>
          <t>Total Revenue</t>
        </is>
      </c>
      <c r="B6" s="7" t="n">
        <v>192200000</v>
      </c>
      <c r="C6" s="7" t="n">
        <v>15600000</v>
      </c>
    </row>
    <row r="7">
      <c r="A7" s="3" t="inlineStr"/>
      <c r="B7" s="4" t="inlineStr"/>
      <c r="C7" s="4" t="inlineStr"/>
    </row>
    <row r="8">
      <c r="A8" s="3" t="inlineStr">
        <is>
          <t>Equipment Cost (all 9,090 kWp)</t>
        </is>
      </c>
      <c r="B8" s="4" t="n">
        <v>-84500000</v>
      </c>
      <c r="C8" s="4" t="n">
        <v>0</v>
      </c>
    </row>
    <row r="9">
      <c r="A9" s="3" t="inlineStr">
        <is>
          <t>Labor Cost (all 9,090 kWp)</t>
        </is>
      </c>
      <c r="B9" s="4" t="n">
        <v>-22700000</v>
      </c>
      <c r="C9" s="4" t="n">
        <v>0</v>
      </c>
    </row>
    <row r="10">
      <c r="A10" s="3" t="inlineStr">
        <is>
          <t>Payment to EPC Co</t>
        </is>
      </c>
      <c r="B10" s="4" t="n">
        <v>0</v>
      </c>
      <c r="C10" s="4" t="n">
        <v>-74000000</v>
      </c>
    </row>
    <row r="11">
      <c r="A11" s="3" t="inlineStr">
        <is>
          <t>Salaries (23 employees)</t>
        </is>
      </c>
      <c r="B11" s="4" t="n">
        <v>-15100000</v>
      </c>
      <c r="C11" s="4" t="n">
        <v>0</v>
      </c>
    </row>
    <row r="12">
      <c r="A12" s="3" t="inlineStr">
        <is>
          <t>Operating Expenses</t>
        </is>
      </c>
      <c r="B12" s="4" t="n">
        <v>-3880000</v>
      </c>
      <c r="C12" s="4" t="n">
        <v>0</v>
      </c>
    </row>
    <row r="13">
      <c r="A13" s="3" t="inlineStr">
        <is>
          <t>O&amp;M</t>
        </is>
      </c>
      <c r="B13" s="4" t="n">
        <v>0</v>
      </c>
      <c r="C13" s="4" t="n">
        <v>-3930000</v>
      </c>
    </row>
    <row r="14">
      <c r="A14" s="3" t="inlineStr">
        <is>
          <t>Loan Repayment</t>
        </is>
      </c>
      <c r="B14" s="4" t="n">
        <v>0</v>
      </c>
      <c r="C14" s="4" t="n">
        <v>-5500000</v>
      </c>
    </row>
    <row r="15">
      <c r="A15" s="3" t="inlineStr"/>
      <c r="B15" s="4" t="inlineStr"/>
      <c r="C15" s="4" t="inlineStr"/>
    </row>
    <row r="16">
      <c r="A16" s="6" t="inlineStr">
        <is>
          <t>Net Profit / Cash Flow</t>
        </is>
      </c>
      <c r="B16" s="7" t="n">
        <v>66020000</v>
      </c>
      <c r="C16" s="7" t="n">
        <v>-67830000</v>
      </c>
    </row>
    <row r="17">
      <c r="A17" s="6" t="inlineStr">
        <is>
          <t>Net Margin</t>
        </is>
      </c>
      <c r="B17" s="8" t="n">
        <v>0.343</v>
      </c>
      <c r="C17" s="7" t="inlineStr"/>
    </row>
    <row r="18">
      <c r="A18" s="3" t="inlineStr"/>
      <c r="B18" s="4" t="inlineStr"/>
      <c r="C18" s="4" t="inlineStr"/>
    </row>
    <row r="19">
      <c r="A19" s="6" t="inlineStr">
        <is>
          <t>ARR at end of Year 1</t>
        </is>
      </c>
      <c r="B19" s="7" t="inlineStr"/>
      <c r="C19" s="7" t="n">
        <v>40300000</v>
      </c>
    </row>
    <row r="20">
      <c r="A20" s="6" t="inlineStr">
        <is>
          <t>Asset Value (DCF 10yr)</t>
        </is>
      </c>
      <c r="B20" s="7" t="inlineStr"/>
      <c r="C20" s="7" t="n">
        <v>285000000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5A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Category</t>
        </is>
      </c>
    </row>
    <row r="2">
      <c r="A2" s="3" t="inlineStr">
        <is>
          <t>New Leads/month</t>
        </is>
      </c>
      <c r="B2" s="4" t="inlineStr">
        <is>
          <t>80+</t>
        </is>
      </c>
      <c r="C2" s="4" t="inlineStr">
        <is>
          <t>Sales</t>
        </is>
      </c>
    </row>
    <row r="3">
      <c r="A3" s="3" t="inlineStr">
        <is>
          <t>Roof Surveys/month</t>
        </is>
      </c>
      <c r="B3" s="4" t="inlineStr">
        <is>
          <t>30+</t>
        </is>
      </c>
      <c r="C3" s="4" t="inlineStr">
        <is>
          <t>Sales</t>
        </is>
      </c>
    </row>
    <row r="4">
      <c r="A4" s="3" t="inlineStr">
        <is>
          <t>Proposals/month</t>
        </is>
      </c>
      <c r="B4" s="4" t="inlineStr">
        <is>
          <t>20+</t>
        </is>
      </c>
      <c r="C4" s="4" t="inlineStr">
        <is>
          <t>Sales</t>
        </is>
      </c>
    </row>
    <row r="5">
      <c r="A5" s="3" t="inlineStr">
        <is>
          <t>Close Rate</t>
        </is>
      </c>
      <c r="B5" s="4" t="inlineStr">
        <is>
          <t>50%+</t>
        </is>
      </c>
      <c r="C5" s="4" t="inlineStr">
        <is>
          <t>Sales</t>
        </is>
      </c>
    </row>
    <row r="6">
      <c r="A6" s="3" t="inlineStr">
        <is>
          <t>Systems/month</t>
        </is>
      </c>
      <c r="B6" s="4" t="inlineStr">
        <is>
          <t>15+</t>
        </is>
      </c>
      <c r="C6" s="4" t="inlineStr">
        <is>
          <t>Sales</t>
        </is>
      </c>
    </row>
    <row r="7">
      <c r="A7" s="3" t="inlineStr">
        <is>
          <t>CAC</t>
        </is>
      </c>
      <c r="B7" s="4" t="inlineStr">
        <is>
          <t>&lt;฿30K</t>
        </is>
      </c>
      <c r="C7" s="4" t="inlineStr">
        <is>
          <t>Sales</t>
        </is>
      </c>
    </row>
    <row r="8">
      <c r="A8" s="3" t="inlineStr">
        <is>
          <t>Avg Deal Size</t>
        </is>
      </c>
      <c r="B8" s="4" t="inlineStr">
        <is>
          <t>฿1.63M</t>
        </is>
      </c>
      <c r="C8" s="4" t="inlineStr">
        <is>
          <t>Sales</t>
        </is>
      </c>
    </row>
    <row r="9">
      <c r="A9" s="3" t="inlineStr">
        <is>
          <t>kWp Installed/month</t>
        </is>
      </c>
      <c r="B9" s="4" t="inlineStr">
        <is>
          <t>757+</t>
        </is>
      </c>
      <c r="C9" s="4" t="inlineStr">
        <is>
          <t>Installation</t>
        </is>
      </c>
    </row>
    <row r="10">
      <c r="A10" s="3" t="inlineStr">
        <is>
          <t>Install Time/system</t>
        </is>
      </c>
      <c r="B10" s="4" t="inlineStr">
        <is>
          <t>5-7 days</t>
        </is>
      </c>
      <c r="C10" s="4" t="inlineStr">
        <is>
          <t>Installation</t>
        </is>
      </c>
    </row>
    <row r="11">
      <c r="A11" s="3" t="inlineStr">
        <is>
          <t>Safety Incidents</t>
        </is>
      </c>
      <c r="B11" s="4" t="inlineStr">
        <is>
          <t>0</t>
        </is>
      </c>
      <c r="C11" s="4" t="inlineStr">
        <is>
          <t>Installation</t>
        </is>
      </c>
    </row>
    <row r="12">
      <c r="A12" s="3" t="inlineStr">
        <is>
          <t>Parallel Projects</t>
        </is>
      </c>
      <c r="B12" s="4" t="inlineStr">
        <is>
          <t>4-6</t>
        </is>
      </c>
      <c r="C12" s="4" t="inlineStr">
        <is>
          <t>Installation</t>
        </is>
      </c>
    </row>
    <row r="13">
      <c r="A13" s="3" t="inlineStr">
        <is>
          <t>Quality Pass Rate</t>
        </is>
      </c>
      <c r="B13" s="4" t="inlineStr">
        <is>
          <t>98%+</t>
        </is>
      </c>
      <c r="C13" s="4" t="inlineStr">
        <is>
          <t>Installation</t>
        </is>
      </c>
    </row>
    <row r="14">
      <c r="A14" s="3" t="inlineStr">
        <is>
          <t>PEA Approval</t>
        </is>
      </c>
      <c r="B14" s="4" t="inlineStr">
        <is>
          <t>&lt;30 days</t>
        </is>
      </c>
      <c r="C14" s="4" t="inlineStr">
        <is>
          <t>Installation</t>
        </is>
      </c>
    </row>
    <row r="15">
      <c r="A15" s="3" t="inlineStr">
        <is>
          <t>Gross Margin EPC</t>
        </is>
      </c>
      <c r="B15" s="4" t="inlineStr">
        <is>
          <t>64%</t>
        </is>
      </c>
      <c r="C15" s="4" t="inlineStr">
        <is>
          <t>Financial</t>
        </is>
      </c>
    </row>
    <row r="16">
      <c r="A16" s="3" t="inlineStr">
        <is>
          <t>Net Margin</t>
        </is>
      </c>
      <c r="B16" s="4" t="inlineStr">
        <is>
          <t>29%+</t>
        </is>
      </c>
      <c r="C16" s="4" t="inlineStr">
        <is>
          <t>Financial</t>
        </is>
      </c>
    </row>
    <row r="17">
      <c r="A17" s="3" t="inlineStr">
        <is>
          <t>MRR Growth</t>
        </is>
      </c>
      <c r="B17" s="4" t="inlineStr">
        <is>
          <t>15%/month</t>
        </is>
      </c>
      <c r="C17" s="4" t="inlineStr">
        <is>
          <t>Financial</t>
        </is>
      </c>
    </row>
    <row r="18">
      <c r="A18" s="3" t="inlineStr">
        <is>
          <t>Cash Collection</t>
        </is>
      </c>
      <c r="B18" s="4" t="inlineStr">
        <is>
          <t>&lt;45 days</t>
        </is>
      </c>
      <c r="C18" s="4" t="inlineStr">
        <is>
          <t>Financial</t>
        </is>
      </c>
    </row>
    <row r="19">
      <c r="A19" s="3" t="inlineStr">
        <is>
          <t>DSCR (PPA loans)</t>
        </is>
      </c>
      <c r="B19" s="4" t="inlineStr">
        <is>
          <t>&gt;1.3x</t>
        </is>
      </c>
      <c r="C19" s="4" t="inlineStr">
        <is>
          <t>Financial</t>
        </is>
      </c>
    </row>
    <row r="20">
      <c r="A20" s="3" t="inlineStr">
        <is>
          <t>Working Capital</t>
        </is>
      </c>
      <c r="B20" s="4" t="inlineStr">
        <is>
          <t>3 months+</t>
        </is>
      </c>
      <c r="C20" s="4" t="inlineStr">
        <is>
          <t>Financial</t>
        </is>
      </c>
    </row>
    <row r="21">
      <c r="A21" s="3" t="inlineStr">
        <is>
          <t>Customer LTV</t>
        </is>
      </c>
      <c r="B21" s="4" t="inlineStr">
        <is>
          <t>฿5M+</t>
        </is>
      </c>
      <c r="C21" s="4" t="inlineStr">
        <is>
          <t>Financial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2026-03-05T11:04:22Z</dcterms:created>
  <dcterms:modified xmlns:dcterms="http://purl.org/dc/terms/" xmlns:xsi="http://www.w3.org/2001/XMLSchema-instance" xsi:type="dcterms:W3CDTF">2026-03-05T11:04:22Z</dcterms:modified>
</cp:coreProperties>
</file>